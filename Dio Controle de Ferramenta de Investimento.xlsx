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453" documentId="11_9248381DC2F30A436F107A39913E8C1851038385" xr6:coauthVersionLast="47" xr6:coauthVersionMax="47" xr10:uidLastSave="{C550E1F5-5A6A-4830-9FA0-E1576E9C2875}"/>
  <bookViews>
    <workbookView xWindow="240" yWindow="105" windowWidth="14805" windowHeight="8010" firstSheet="1" xr2:uid="{00000000-000D-0000-FFFF-FFFF00000000}"/>
  </bookViews>
  <sheets>
    <sheet name="APP" sheetId="1" r:id="rId1"/>
    <sheet name="Folha2" sheetId="2" r:id="rId2"/>
  </sheets>
  <definedNames>
    <definedName name="aport">APP!$D$17:$D$17</definedName>
    <definedName name="patrimonio">APP!$D$20:$D$20</definedName>
    <definedName name="qtd_anos">APP!$D$18:$D$18</definedName>
    <definedName name="rendimento_carteiras">APP!$D$13:$D$13</definedName>
    <definedName name="salario">APP!$D$12:$D$12</definedName>
    <definedName name="sugestao_investimento">APP!$D$14:$D$14</definedName>
    <definedName name="taxa_mensal">APP!$D$19:$D$19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0" i="1"/>
  <c r="C39" i="1"/>
  <c r="C38" i="1"/>
  <c r="C37" i="1"/>
  <c r="C36" i="1"/>
  <c r="H4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33" i="1" a="1"/>
  <c r="C33" i="1"/>
  <c r="D20" i="1" a="1"/>
  <c r="D20" i="1"/>
  <c r="D21" i="1" s="1" a="1"/>
  <c r="D21" i="1" s="1"/>
  <c r="D14" i="1"/>
  <c r="C28" i="1"/>
  <c r="D28" i="1" s="1" a="1"/>
  <c r="D28" i="1" s="1"/>
  <c r="C27" i="1"/>
  <c r="D27" i="1" s="1" a="1"/>
  <c r="D27" i="1" s="1"/>
  <c r="C26" i="1"/>
  <c r="D26" i="1" s="1" a="1"/>
  <c r="D26" i="1" s="1"/>
  <c r="C25" i="1"/>
  <c r="D25" i="1" s="1" a="1"/>
  <c r="D25" i="1" s="1"/>
  <c r="C24" i="1"/>
  <c r="D24" i="1" s="1" a="1"/>
  <c r="D24" i="1" s="1"/>
  <c r="D37" i="1" l="1"/>
  <c r="D38" i="1"/>
  <c r="D39" i="1"/>
  <c r="D40" i="1"/>
  <c r="D41" i="1"/>
  <c r="D36" i="1"/>
  <c r="D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<sst xmlns="http://schemas.openxmlformats.org/spreadsheetml/2006/main" count="72" uniqueCount="35">
  <si>
    <t>CONFIGURAÇÕES</t>
  </si>
  <si>
    <t>Salário</t>
  </si>
  <si>
    <t>Rendimento Carteiras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</si>
  <si>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</si>
  <si>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</si>
  <si>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</si>
  <si>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</si>
  <si>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</si>
  <si>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</si>
  <si>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</si>
  <si>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</si>
  <si>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</si>
  <si>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</si>
  <si>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</si>
  <si>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</si>
  <si>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</si>
  <si>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</si>
  <si>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</si>
  <si>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</si>
  <si>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</si>
  <si>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</si>
  <si>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Porcentual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</si>
  <si>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</si>
  <si>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</si>
  <si>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</si>
  <si>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</si>
  <si>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</si>
  <si>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</si>
  <si>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</si>
  <si>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</si>
  <si>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PERFIL</t>
  </si>
  <si>
    <t>%</t>
  </si>
  <si>
    <t>Moderado-TIJOLO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</si>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</sst>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0.0%"/>
  </numFmts>
  <fonts count="1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scheme val="minor"/>
    </font>
    <font>
      <b/>
      <sz val="16"/>
      <color theme="0"/>
      <name val="Segoe UI"/>
    </font>
    <font>
      <b/>
      <sz val="11"/>
      <color theme="0"/>
      <name val="Segoe UI"/>
    </font>
    <font>
      <b/>
      <sz val="11"/>
      <color theme="1"/>
      <name val="Segoe UI"/>
    </font>
    <font>
      <b/>
      <sz val="12"/>
      <color theme="1"/>
      <name val="Segoe UI"/>
    </font>
    <font>
      <sz val="12"/>
      <color theme="1" tint="0.249977111117893"/>
      <name val="Segoe UI"/>
    </font>
    <font>
      <sz val="11"/>
      <color theme="1" tint="0.249977111117893"/>
      <name val="Segoe UI"/>
    </font>
    <font>
      <b/>
      <sz val="11"/>
      <color theme="1" tint="0.249977111117893"/>
      <name val="Segoe UI"/>
    </font>
    <font>
      <b/>
      <sz val="11"/>
      <color rgb="FF9C57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 tint="0.499984740745262"/>
      </left>
      <right style="thin">
        <color theme="0" tint="-0.14999847407452621"/>
      </right>
      <top style="medium">
        <color theme="1" tint="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 tint="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medium">
        <color theme="1" tint="0.499984740745262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4.9989318521683403E-2"/>
      </right>
      <top style="thin">
        <color theme="0" tint="-0.149998474074526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 tint="0.499984740745262"/>
      </right>
      <top style="thin">
        <color theme="0" tint="-0.14999847407452621"/>
      </top>
      <bottom style="thin">
        <color theme="0" tint="-4.9989318521683403E-2"/>
      </bottom>
      <diagonal/>
    </border>
    <border>
      <left style="medium">
        <color theme="1" tint="0.49998474074526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 tint="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 tint="0.499984740745262"/>
      </left>
      <right style="thin">
        <color theme="0" tint="-4.9989318521683403E-2"/>
      </right>
      <top style="thin">
        <color theme="0" tint="-4.9989318521683403E-2"/>
      </top>
      <bottom style="medium">
        <color theme="1" tint="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1" tint="0.499984740745262"/>
      </bottom>
      <diagonal/>
    </border>
    <border>
      <left style="thin">
        <color theme="0" tint="-4.9989318521683403E-2"/>
      </left>
      <right style="medium">
        <color theme="1" tint="0.499984740745262"/>
      </right>
      <top style="thin">
        <color theme="0" tint="-4.9989318521683403E-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 tint="0.499984740745262"/>
      </bottom>
      <diagonal/>
    </border>
    <border>
      <left style="thin">
        <color theme="0" tint="-0.14999847407452621"/>
      </left>
      <right style="medium">
        <color theme="1" tint="0.499984740745262"/>
      </right>
      <top style="thin">
        <color theme="0" tint="-0.14999847407452621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0" tint="-0.14999847407452621"/>
      </bottom>
      <diagonal/>
    </border>
    <border>
      <left/>
      <right/>
      <top style="medium">
        <color theme="1" tint="0.499984740745262"/>
      </top>
      <bottom style="thin">
        <color theme="0" tint="-0.14999847407452621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0" tint="-0.1499984740745262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63">
    <xf numFmtId="0" fontId="0" fillId="0" borderId="0" xfId="0"/>
    <xf numFmtId="0" fontId="1" fillId="5" borderId="0" xfId="0" applyFont="1" applyFill="1"/>
    <xf numFmtId="165" fontId="0" fillId="0" borderId="0" xfId="0" applyNumberFormat="1"/>
    <xf numFmtId="0" fontId="5" fillId="4" borderId="6" xfId="0" applyFont="1" applyFill="1" applyBorder="1" applyAlignment="1">
      <alignment vertical="center"/>
    </xf>
    <xf numFmtId="8" fontId="6" fillId="3" borderId="15" xfId="0" applyNumberFormat="1" applyFont="1" applyFill="1" applyBorder="1" applyAlignment="1">
      <alignment horizontal="center" vertical="center"/>
    </xf>
    <xf numFmtId="8" fontId="6" fillId="3" borderId="18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indent="3"/>
    </xf>
    <xf numFmtId="8" fontId="9" fillId="6" borderId="2" xfId="0" applyNumberFormat="1" applyFont="1" applyFill="1" applyBorder="1" applyAlignment="1">
      <alignment horizontal="center"/>
    </xf>
    <xf numFmtId="8" fontId="9" fillId="6" borderId="8" xfId="0" applyNumberFormat="1" applyFont="1" applyFill="1" applyBorder="1" applyAlignment="1">
      <alignment horizontal="center"/>
    </xf>
    <xf numFmtId="0" fontId="8" fillId="6" borderId="9" xfId="0" applyFont="1" applyFill="1" applyBorder="1" applyAlignment="1">
      <alignment horizontal="left" indent="3"/>
    </xf>
    <xf numFmtId="8" fontId="9" fillId="6" borderId="3" xfId="0" applyNumberFormat="1" applyFont="1" applyFill="1" applyBorder="1" applyAlignment="1">
      <alignment horizontal="center"/>
    </xf>
    <xf numFmtId="8" fontId="9" fillId="6" borderId="10" xfId="0" applyNumberFormat="1" applyFont="1" applyFill="1" applyBorder="1" applyAlignment="1">
      <alignment horizontal="center"/>
    </xf>
    <xf numFmtId="0" fontId="8" fillId="6" borderId="11" xfId="0" applyFont="1" applyFill="1" applyBorder="1" applyAlignment="1">
      <alignment horizontal="left" indent="3"/>
    </xf>
    <xf numFmtId="8" fontId="9" fillId="6" borderId="12" xfId="0" applyNumberFormat="1" applyFont="1" applyFill="1" applyBorder="1" applyAlignment="1">
      <alignment horizontal="center"/>
    </xf>
    <xf numFmtId="8" fontId="9" fillId="6" borderId="13" xfId="0" applyNumberFormat="1" applyFont="1" applyFill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165" fontId="9" fillId="0" borderId="15" xfId="0" applyNumberFormat="1" applyFont="1" applyBorder="1" applyAlignment="1">
      <alignment horizontal="center"/>
    </xf>
    <xf numFmtId="164" fontId="9" fillId="2" borderId="18" xfId="0" applyNumberFormat="1" applyFont="1" applyFill="1" applyBorder="1" applyAlignment="1">
      <alignment horizontal="center"/>
    </xf>
    <xf numFmtId="0" fontId="3" fillId="9" borderId="0" xfId="1"/>
    <xf numFmtId="0" fontId="2" fillId="2" borderId="0" xfId="0" applyFont="1" applyFill="1"/>
    <xf numFmtId="164" fontId="2" fillId="2" borderId="0" xfId="0" applyNumberFormat="1" applyFont="1" applyFill="1" applyAlignment="1">
      <alignment horizontal="left" indent="2"/>
    </xf>
    <xf numFmtId="0" fontId="2" fillId="0" borderId="0" xfId="0" applyFont="1"/>
    <xf numFmtId="0" fontId="11" fillId="9" borderId="0" xfId="1" applyFont="1"/>
    <xf numFmtId="0" fontId="11" fillId="9" borderId="0" xfId="1" applyFont="1" applyAlignment="1">
      <alignment horizontal="left" indent="2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2" fillId="3" borderId="0" xfId="0" applyFont="1" applyFill="1"/>
    <xf numFmtId="164" fontId="12" fillId="3" borderId="0" xfId="0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9" fontId="3" fillId="9" borderId="0" xfId="1" applyNumberFormat="1"/>
    <xf numFmtId="9" fontId="13" fillId="0" borderId="0" xfId="0" applyNumberFormat="1" applyFont="1" applyAlignment="1">
      <alignment horizontal="center"/>
    </xf>
    <xf numFmtId="164" fontId="13" fillId="11" borderId="0" xfId="0" applyNumberFormat="1" applyFont="1" applyFill="1" applyAlignment="1">
      <alignment horizontal="center"/>
    </xf>
    <xf numFmtId="164" fontId="10" fillId="12" borderId="15" xfId="0" applyNumberFormat="1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10" fontId="10" fillId="12" borderId="15" xfId="0" applyNumberFormat="1" applyFont="1" applyFill="1" applyBorder="1" applyAlignment="1">
      <alignment horizontal="center" vertical="center"/>
    </xf>
    <xf numFmtId="0" fontId="0" fillId="8" borderId="0" xfId="0" applyFill="1"/>
    <xf numFmtId="0" fontId="0" fillId="11" borderId="0" xfId="0" applyFill="1"/>
    <xf numFmtId="0" fontId="13" fillId="11" borderId="0" xfId="0" applyFont="1" applyFill="1" applyAlignment="1">
      <alignment horizontal="center"/>
    </xf>
    <xf numFmtId="9" fontId="0" fillId="11" borderId="0" xfId="0" applyNumberFormat="1" applyFill="1" applyAlignment="1">
      <alignment horizontal="center"/>
    </xf>
    <xf numFmtId="0" fontId="0" fillId="11" borderId="22" xfId="0" applyFill="1" applyBorder="1"/>
    <xf numFmtId="0" fontId="13" fillId="11" borderId="22" xfId="0" applyFont="1" applyFill="1" applyBorder="1" applyAlignment="1">
      <alignment horizontal="center"/>
    </xf>
    <xf numFmtId="9" fontId="0" fillId="11" borderId="22" xfId="0" applyNumberFormat="1" applyFill="1" applyBorder="1" applyAlignment="1">
      <alignment horizontal="center"/>
    </xf>
    <xf numFmtId="0" fontId="0" fillId="11" borderId="23" xfId="0" applyFill="1" applyBorder="1"/>
    <xf numFmtId="0" fontId="13" fillId="11" borderId="23" xfId="0" applyFont="1" applyFill="1" applyBorder="1" applyAlignment="1">
      <alignment horizontal="center"/>
    </xf>
    <xf numFmtId="9" fontId="0" fillId="11" borderId="23" xfId="0" applyNumberFormat="1" applyFill="1" applyBorder="1" applyAlignment="1">
      <alignment horizontal="center"/>
    </xf>
    <xf numFmtId="0" fontId="8" fillId="2" borderId="14" xfId="0" applyFont="1" applyFill="1" applyBorder="1" applyAlignment="1">
      <alignment horizontal="left" indent="3"/>
    </xf>
    <xf numFmtId="0" fontId="8" fillId="2" borderId="1" xfId="0" applyFont="1" applyFill="1" applyBorder="1" applyAlignment="1">
      <alignment horizontal="left" indent="3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indent="3"/>
    </xf>
    <xf numFmtId="0" fontId="7" fillId="3" borderId="1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left" indent="3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left" indent="3"/>
    </xf>
    <xf numFmtId="0" fontId="8" fillId="2" borderId="17" xfId="0" applyFont="1" applyFill="1" applyBorder="1" applyAlignment="1">
      <alignment horizontal="left" indent="3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Porcentual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77-43F3-B1EF-DC161EF09B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77-43F3-B1EF-DC161EF09B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77-43F3-B1EF-DC161EF09B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77-43F3-B1EF-DC161EF09B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77-43F3-B1EF-DC161EF09B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77-43F3-B1EF-DC161EF09B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A-4F93-BABA-2EFE31B68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16384</xdr:col>
      <xdr:colOff>1600200</xdr:colOff>
      <xdr:row>12</xdr:row>
      <xdr:rowOff>152400</xdr:rowOff>
    </xdr:from>
    <xdr:to>
      <xdr:col>16384</xdr:col>
      <xdr:colOff>2552700</xdr:colOff>
      <xdr:row>16</xdr:row>
      <xdr:rowOff>85725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B153FA4-11DE-0D1E-667F-D35E1AD63024}"/>
            </a:ext>
          </a:extLst>
        </xdr:cNvPr>
        <xdr:cNvSpPr txBox="1"/>
      </xdr:nvSpPr>
      <xdr:spPr>
        <a:xfrm>
          <a:off x="8239125" y="261937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42</xdr:row>
      <xdr:rowOff>171450</xdr:rowOff>
    </xdr:from>
    <xdr:to>
      <xdr:col>3</xdr:col>
      <xdr:colOff>981075</xdr:colOff>
      <xdr:row>55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76F2B-25D1-545F-A538-50D9F4F7B788}"/>
            </a:ext>
            <a:ext uri="{147F2762-F138-4A5C-976F-8EAC2B608ADB}">
              <a16:predDERef xmlns:a16="http://schemas.microsoft.com/office/drawing/2014/main" pred="{EB153FA4-11DE-0D1E-667F-D35E1AD63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16384</xdr:col>
      <xdr:colOff>1600200</xdr:colOff>
      <xdr:row>12</xdr:row>
      <xdr:rowOff>152400</xdr:rowOff>
    </xdr:from>
    <xdr:to>
      <xdr:col>16384</xdr:col>
      <xdr:colOff>2552700</xdr:colOff>
      <xdr:row>16</xdr:row>
      <xdr:rowOff>85725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E8FB2EA9-8EE8-076B-2806-45C36F111D3F}"/>
            </a:ext>
            <a:ext uri="{147F2762-F138-4A5C-976F-8EAC2B608ADB}">
              <a16:predDERef xmlns:a16="http://schemas.microsoft.com/office/drawing/2014/main" pred="{F4376F2B-25D1-545F-A538-50D9F4F7B788}"/>
            </a:ext>
          </a:extLst>
        </xdr:cNvPr>
        <xdr:cNvSpPr/>
      </xdr:nvSpPr>
      <xdr:spPr>
        <a:xfrm>
          <a:off x="8239125" y="2619375"/>
          <a:ext cx="952500" cy="952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123825</xdr:colOff>
      <xdr:row>2</xdr:row>
      <xdr:rowOff>76200</xdr:rowOff>
    </xdr:from>
    <xdr:to>
      <xdr:col>3</xdr:col>
      <xdr:colOff>895350</xdr:colOff>
      <xdr:row>6</xdr:row>
      <xdr:rowOff>85725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9E51830-CA2D-8B3D-F0CA-222860ED765B}"/>
            </a:ext>
            <a:ext uri="{147F2762-F138-4A5C-976F-8EAC2B608ADB}">
              <a16:predDERef xmlns:a16="http://schemas.microsoft.com/office/drawing/2014/main" pred="{E8FB2EA9-8EE8-076B-2806-45C36F111D3F}"/>
            </a:ext>
          </a:extLst>
        </xdr:cNvPr>
        <xdr:cNvSpPr txBox="1"/>
      </xdr:nvSpPr>
      <xdr:spPr>
        <a:xfrm>
          <a:off x="342900" y="457200"/>
          <a:ext cx="4572000" cy="7715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48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Bahnschrift" panose="020B0502040204020203" pitchFamily="34" charset="0"/>
            </a:rPr>
            <a:t>MDS INVEST +</a:t>
          </a: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EC6B27E9-90FC-4A80-B6B1-8351EF1A334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2"/>
  <sheetViews>
    <sheetView showGridLines="0" tabSelected="1" workbookViewId="0">
      <selection activeCell="G2" sqref="G2"/>
    </sheetView>
  </sheetViews>
  <sheetFormatPr defaultColWidth="0" defaultRowHeight="15"/>
  <cols>
    <col min="1" max="1" width="3.28515625" bestFit="1" customWidth="1"/>
    <col min="2" max="2" width="32.42578125" customWidth="1"/>
    <col min="3" max="3" width="24.5703125" customWidth="1"/>
    <col min="4" max="4" width="15.85546875" customWidth="1"/>
    <col min="5" max="8" width="5.85546875" customWidth="1"/>
    <col min="9" max="11" width="9.140625" hidden="1" customWidth="1"/>
  </cols>
  <sheetData>
    <row r="2" spans="2:4">
      <c r="B2" s="37"/>
      <c r="C2" s="37"/>
      <c r="D2" s="37"/>
    </row>
    <row r="3" spans="2:4">
      <c r="B3" s="37"/>
      <c r="C3" s="37"/>
      <c r="D3" s="37"/>
    </row>
    <row r="4" spans="2:4">
      <c r="B4" s="37"/>
      <c r="C4" s="37"/>
      <c r="D4" s="37"/>
    </row>
    <row r="5" spans="2:4">
      <c r="B5" s="37"/>
      <c r="C5" s="37"/>
      <c r="D5" s="37"/>
    </row>
    <row r="6" spans="2:4">
      <c r="B6" s="37"/>
      <c r="C6" s="37"/>
      <c r="D6" s="37"/>
    </row>
    <row r="7" spans="2:4">
      <c r="B7" s="37"/>
      <c r="C7" s="37"/>
      <c r="D7" s="37"/>
    </row>
    <row r="8" spans="2:4">
      <c r="B8" s="37"/>
      <c r="C8" s="37"/>
      <c r="D8" s="37"/>
    </row>
    <row r="11" spans="2:4" ht="27" customHeight="1">
      <c r="B11" s="60" t="s">
        <v>0</v>
      </c>
      <c r="C11" s="61"/>
      <c r="D11" s="62"/>
    </row>
    <row r="12" spans="2:4" ht="17.25">
      <c r="B12" s="47" t="s">
        <v>1</v>
      </c>
      <c r="C12" s="48"/>
      <c r="D12" s="15">
        <v>4600</v>
      </c>
    </row>
    <row r="13" spans="2:4" ht="17.25">
      <c r="B13" s="47" t="s">
        <v>2</v>
      </c>
      <c r="C13" s="48"/>
      <c r="D13" s="16">
        <v>6.0000000000000001E-3</v>
      </c>
    </row>
    <row r="14" spans="2:4" ht="17.25">
      <c r="B14" s="58" t="s">
        <v>3</v>
      </c>
      <c r="C14" s="59"/>
      <c r="D14" s="17">
        <f>D12*30%</f>
        <v>1380</v>
      </c>
    </row>
    <row r="16" spans="2:4" ht="30.75" customHeight="1">
      <c r="B16" s="55" t="s">
        <v>4</v>
      </c>
      <c r="C16" s="56"/>
      <c r="D16" s="57"/>
    </row>
    <row r="17" spans="1:8" ht="17.25">
      <c r="B17" s="47" t="s">
        <v>5</v>
      </c>
      <c r="C17" s="48"/>
      <c r="D17" s="34">
        <v>200</v>
      </c>
      <c r="H17" s="2"/>
    </row>
    <row r="18" spans="1:8" ht="17.25">
      <c r="B18" s="47" t="s">
        <v>6</v>
      </c>
      <c r="C18" s="48"/>
      <c r="D18" s="35">
        <v>10</v>
      </c>
      <c r="H18" s="2"/>
    </row>
    <row r="19" spans="1:8" ht="17.25">
      <c r="B19" s="47" t="s">
        <v>7</v>
      </c>
      <c r="C19" s="48"/>
      <c r="D19" s="36">
        <v>1.0789999999999999E-2</v>
      </c>
    </row>
    <row r="20" spans="1:8" ht="17.25">
      <c r="B20" s="53" t="s">
        <v>8</v>
      </c>
      <c r="C20" s="54"/>
      <c r="D20" s="4" cm="1">
        <f t="array" ref="D20">FV(taxa_mensal,qtd_anos*12,aport*-1)</f>
        <v>48656.842506034438</v>
      </c>
    </row>
    <row r="21" spans="1:8" ht="17.25">
      <c r="B21" s="51" t="s">
        <v>9</v>
      </c>
      <c r="C21" s="52"/>
      <c r="D21" s="5" cm="1">
        <f t="array" ref="D21">patrimonio*1%</f>
        <v>486.5684250603444</v>
      </c>
    </row>
    <row r="23" spans="1:8" ht="30.75" customHeight="1">
      <c r="B23" s="49" t="s">
        <v>10</v>
      </c>
      <c r="C23" s="50"/>
      <c r="D23" s="3" t="s">
        <v>11</v>
      </c>
    </row>
    <row r="24" spans="1:8" ht="17.25">
      <c r="A24" s="1">
        <v>2</v>
      </c>
      <c r="B24" s="6" t="s">
        <v>12</v>
      </c>
      <c r="C24" s="7">
        <f>FV($D$19,$A24*12,$D$17*-1)</f>
        <v>5445.5254595290435</v>
      </c>
      <c r="D24" s="8" cm="1">
        <f t="array" ref="D24">C24*rendimento_carteiras</f>
        <v>32.673152757174265</v>
      </c>
    </row>
    <row r="25" spans="1:8" ht="17.25">
      <c r="A25" s="1">
        <v>5</v>
      </c>
      <c r="B25" s="9" t="s">
        <v>13</v>
      </c>
      <c r="C25" s="10">
        <f>FV($D$19,$A25*12,$D$17*-1)</f>
        <v>16755.382799697527</v>
      </c>
      <c r="D25" s="11" cm="1">
        <f t="array" ref="D25">C25*rendimento_carteiras</f>
        <v>100.53229679818516</v>
      </c>
    </row>
    <row r="26" spans="1:8" ht="17.25">
      <c r="A26" s="1">
        <v>10</v>
      </c>
      <c r="B26" s="9" t="s">
        <v>14</v>
      </c>
      <c r="C26" s="10">
        <f>FV($D$19,$A26*12,$D$17*-1)</f>
        <v>48656.842506034438</v>
      </c>
      <c r="D26" s="11" cm="1">
        <f t="array" ref="D26">C26*rendimento_carteiras</f>
        <v>291.94105503620665</v>
      </c>
    </row>
    <row r="27" spans="1:8" ht="17.25">
      <c r="A27" s="1">
        <v>20</v>
      </c>
      <c r="B27" s="9" t="s">
        <v>15</v>
      </c>
      <c r="C27" s="10">
        <f>FV($D$19,$A27*12,$D$17*-1)</f>
        <v>225039.68001941612</v>
      </c>
      <c r="D27" s="11" cm="1">
        <f t="array" ref="D27">C27*rendimento_carteiras</f>
        <v>1350.2380801164968</v>
      </c>
    </row>
    <row r="28" spans="1:8" ht="17.25">
      <c r="A28" s="1">
        <v>30</v>
      </c>
      <c r="B28" s="12" t="s">
        <v>16</v>
      </c>
      <c r="C28" s="13">
        <f>FV($D$19,$A28*12,$D$17*-1)</f>
        <v>864433.93100094295</v>
      </c>
      <c r="D28" s="14" cm="1">
        <f t="array" ref="D28">C28*rendimento_carteiras</f>
        <v>5186.6035860056581</v>
      </c>
    </row>
    <row r="32" spans="1:8">
      <c r="B32" s="22" t="s">
        <v>17</v>
      </c>
      <c r="C32" s="23" t="s">
        <v>18</v>
      </c>
      <c r="D32" s="22"/>
    </row>
    <row r="33" spans="2:4">
      <c r="B33" s="19" t="s">
        <v>19</v>
      </c>
      <c r="C33" s="20" cm="1">
        <f t="array" ref="C33">aport</f>
        <v>200</v>
      </c>
      <c r="D33" s="19"/>
    </row>
    <row r="35" spans="2:4">
      <c r="B35" s="24" t="s">
        <v>20</v>
      </c>
      <c r="C35" s="25" t="s">
        <v>21</v>
      </c>
      <c r="D35" s="25" t="s">
        <v>22</v>
      </c>
    </row>
    <row r="36" spans="2:4">
      <c r="B36" s="28" t="s">
        <v>23</v>
      </c>
      <c r="C36" s="32">
        <f>VLOOKUP($C$32&amp;"-"&amp;B36,Folha2!$A:$D,4,FALSE)</f>
        <v>0.3</v>
      </c>
      <c r="D36" s="33">
        <f>C36*$C$33</f>
        <v>60</v>
      </c>
    </row>
    <row r="37" spans="2:4">
      <c r="B37" s="28" t="s">
        <v>24</v>
      </c>
      <c r="C37" s="32">
        <f>VLOOKUP($C$32&amp;"-"&amp;B37,Folha2!$A:$D,4,FALSE)</f>
        <v>0.5</v>
      </c>
      <c r="D37" s="33">
        <f t="shared" ref="D37:D41" si="0">C37*$C$33</f>
        <v>100</v>
      </c>
    </row>
    <row r="38" spans="2:4">
      <c r="B38" s="28" t="s">
        <v>25</v>
      </c>
      <c r="C38" s="32">
        <f>VLOOKUP($C$32&amp;"-"&amp;B38,Folha2!$A:$D,4,FALSE)</f>
        <v>0.1</v>
      </c>
      <c r="D38" s="33">
        <f t="shared" si="0"/>
        <v>20</v>
      </c>
    </row>
    <row r="39" spans="2:4">
      <c r="B39" s="28" t="s">
        <v>26</v>
      </c>
      <c r="C39" s="32">
        <f>VLOOKUP($C$32&amp;"-"&amp;B39,Folha2!$A:$D,4,FALSE)</f>
        <v>0.1</v>
      </c>
      <c r="D39" s="33">
        <f t="shared" si="0"/>
        <v>20</v>
      </c>
    </row>
    <row r="40" spans="2:4">
      <c r="B40" s="28" t="s">
        <v>27</v>
      </c>
      <c r="C40" s="32">
        <f>VLOOKUP($C$32&amp;"-"&amp;B40,Folha2!$A:$D,4,FALSE)</f>
        <v>0</v>
      </c>
      <c r="D40" s="33">
        <f t="shared" si="0"/>
        <v>0</v>
      </c>
    </row>
    <row r="41" spans="2:4">
      <c r="B41" s="28" t="s">
        <v>28</v>
      </c>
      <c r="C41" s="32">
        <f>VLOOKUP($C$32&amp;"-"&amp;B41,Folha2!$A:$D,4,FALSE)</f>
        <v>0</v>
      </c>
      <c r="D41" s="33">
        <f t="shared" si="0"/>
        <v>0</v>
      </c>
    </row>
    <row r="42" spans="2:4">
      <c r="B42" s="26"/>
      <c r="C42" s="26"/>
      <c r="D42" s="27">
        <f>SUM(D36:D41)</f>
        <v>200</v>
      </c>
    </row>
  </sheetData>
  <mergeCells count="11">
    <mergeCell ref="B16:D16"/>
    <mergeCell ref="B12:C12"/>
    <mergeCell ref="B13:C13"/>
    <mergeCell ref="B14:C14"/>
    <mergeCell ref="B11:D11"/>
    <mergeCell ref="B17:C17"/>
    <mergeCell ref="B23:C23"/>
    <mergeCell ref="B21:C21"/>
    <mergeCell ref="B20:C20"/>
    <mergeCell ref="B19:C19"/>
    <mergeCell ref="B18:C18"/>
  </mergeCells>
  <dataValidations count="1">
    <dataValidation type="list" allowBlank="1" showInputMessage="1" showErrorMessage="1" sqref="C32" xr:uid="{C1F96D32-8178-4C70-80BA-A5158B8A3D41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E819-9E8B-4389-8BA1-B185B34E8286}">
  <dimension ref="A2:H20"/>
  <sheetViews>
    <sheetView showGridLines="0" workbookViewId="0">
      <selection activeCell="A3" sqref="A3:D20"/>
    </sheetView>
  </sheetViews>
  <sheetFormatPr defaultRowHeight="15"/>
  <cols>
    <col min="1" max="1" width="32.7109375" customWidth="1"/>
    <col min="2" max="3" width="18.28515625" customWidth="1"/>
    <col min="5" max="6" width="4" customWidth="1"/>
    <col min="7" max="7" width="17.5703125" customWidth="1"/>
  </cols>
  <sheetData>
    <row r="2" spans="1:8">
      <c r="A2" s="29" t="s">
        <v>29</v>
      </c>
      <c r="B2" s="29" t="s">
        <v>30</v>
      </c>
      <c r="C2" s="30" t="s">
        <v>20</v>
      </c>
      <c r="D2" s="30" t="s">
        <v>31</v>
      </c>
      <c r="E2" s="21"/>
    </row>
    <row r="3" spans="1:8">
      <c r="A3" s="38" t="str">
        <f>B3&amp;"-"&amp;C3</f>
        <v>Conservador-PAPEL</v>
      </c>
      <c r="B3" s="38" t="s">
        <v>18</v>
      </c>
      <c r="C3" s="39" t="s">
        <v>23</v>
      </c>
      <c r="D3" s="40">
        <v>0.3</v>
      </c>
      <c r="G3" t="s">
        <v>29</v>
      </c>
      <c r="H3" t="s">
        <v>31</v>
      </c>
    </row>
    <row r="4" spans="1:8">
      <c r="A4" s="38" t="str">
        <f t="shared" ref="A4:A20" si="0">B4&amp;"-"&amp;C4</f>
        <v>Conservador-TIJOLO</v>
      </c>
      <c r="B4" s="38" t="s">
        <v>18</v>
      </c>
      <c r="C4" s="39" t="s">
        <v>24</v>
      </c>
      <c r="D4" s="40">
        <v>0.5</v>
      </c>
      <c r="G4" s="18" t="s">
        <v>32</v>
      </c>
      <c r="H4" s="31">
        <f>VLOOKUP(G4,A:D,4,FALSE)</f>
        <v>0.35</v>
      </c>
    </row>
    <row r="5" spans="1:8">
      <c r="A5" s="38" t="str">
        <f t="shared" si="0"/>
        <v>Conservador-HIBRIDOS</v>
      </c>
      <c r="B5" s="38" t="s">
        <v>18</v>
      </c>
      <c r="C5" s="39" t="s">
        <v>25</v>
      </c>
      <c r="D5" s="40">
        <v>0.1</v>
      </c>
    </row>
    <row r="6" spans="1:8">
      <c r="A6" s="38" t="str">
        <f t="shared" si="0"/>
        <v>Conservador-FOFs</v>
      </c>
      <c r="B6" s="38" t="s">
        <v>18</v>
      </c>
      <c r="C6" s="39" t="s">
        <v>26</v>
      </c>
      <c r="D6" s="40">
        <v>0.1</v>
      </c>
    </row>
    <row r="7" spans="1:8">
      <c r="A7" s="38" t="str">
        <f t="shared" si="0"/>
        <v>Conservador-DESENVOLVIMENTO</v>
      </c>
      <c r="B7" s="38" t="s">
        <v>18</v>
      </c>
      <c r="C7" s="39" t="s">
        <v>27</v>
      </c>
      <c r="D7" s="40">
        <v>0</v>
      </c>
    </row>
    <row r="8" spans="1:8">
      <c r="A8" s="38" t="str">
        <f t="shared" si="0"/>
        <v>Conservador-HOTELARIAS</v>
      </c>
      <c r="B8" s="38" t="s">
        <v>18</v>
      </c>
      <c r="C8" s="39" t="s">
        <v>28</v>
      </c>
      <c r="D8" s="40">
        <v>0</v>
      </c>
    </row>
    <row r="9" spans="1:8">
      <c r="A9" s="41" t="str">
        <f t="shared" si="0"/>
        <v>Moderado-PAPEL</v>
      </c>
      <c r="B9" s="41" t="s">
        <v>33</v>
      </c>
      <c r="C9" s="42" t="s">
        <v>23</v>
      </c>
      <c r="D9" s="43">
        <v>0.32</v>
      </c>
    </row>
    <row r="10" spans="1:8">
      <c r="A10" s="38" t="str">
        <f t="shared" si="0"/>
        <v>Moderado-TIJOLO</v>
      </c>
      <c r="B10" s="38" t="s">
        <v>33</v>
      </c>
      <c r="C10" s="39" t="s">
        <v>24</v>
      </c>
      <c r="D10" s="40">
        <v>0.35</v>
      </c>
    </row>
    <row r="11" spans="1:8">
      <c r="A11" s="38" t="str">
        <f t="shared" si="0"/>
        <v>Moderado-HIBRIDOS</v>
      </c>
      <c r="B11" s="38" t="s">
        <v>33</v>
      </c>
      <c r="C11" s="39" t="s">
        <v>25</v>
      </c>
      <c r="D11" s="40">
        <v>0.08</v>
      </c>
    </row>
    <row r="12" spans="1:8">
      <c r="A12" s="38" t="str">
        <f t="shared" si="0"/>
        <v>Moderado-FOFs</v>
      </c>
      <c r="B12" s="38" t="s">
        <v>33</v>
      </c>
      <c r="C12" s="39" t="s">
        <v>26</v>
      </c>
      <c r="D12" s="40">
        <v>0.05</v>
      </c>
    </row>
    <row r="13" spans="1:8">
      <c r="A13" s="38" t="str">
        <f t="shared" si="0"/>
        <v>Moderado-DESENVOLVIMENTO</v>
      </c>
      <c r="B13" s="38" t="s">
        <v>33</v>
      </c>
      <c r="C13" s="39" t="s">
        <v>27</v>
      </c>
      <c r="D13" s="40">
        <v>0.1</v>
      </c>
    </row>
    <row r="14" spans="1:8">
      <c r="A14" s="44" t="str">
        <f t="shared" si="0"/>
        <v>Moderado-HOTELARIAS</v>
      </c>
      <c r="B14" s="44" t="s">
        <v>33</v>
      </c>
      <c r="C14" s="45" t="s">
        <v>28</v>
      </c>
      <c r="D14" s="46">
        <v>0.1</v>
      </c>
    </row>
    <row r="15" spans="1:8">
      <c r="A15" s="38" t="str">
        <f t="shared" si="0"/>
        <v>Agressivo-PAPEL</v>
      </c>
      <c r="B15" s="38" t="s">
        <v>34</v>
      </c>
      <c r="C15" s="39" t="s">
        <v>23</v>
      </c>
      <c r="D15" s="40">
        <v>0.5</v>
      </c>
    </row>
    <row r="16" spans="1:8">
      <c r="A16" s="38" t="str">
        <f t="shared" si="0"/>
        <v>Agressivo-TIJOLO</v>
      </c>
      <c r="B16" s="38" t="s">
        <v>34</v>
      </c>
      <c r="C16" s="39" t="s">
        <v>24</v>
      </c>
      <c r="D16" s="40">
        <v>0.1</v>
      </c>
    </row>
    <row r="17" spans="1:4">
      <c r="A17" s="38" t="str">
        <f t="shared" si="0"/>
        <v>Agressivo-HIBRIDOS</v>
      </c>
      <c r="B17" s="38" t="s">
        <v>34</v>
      </c>
      <c r="C17" s="39" t="s">
        <v>25</v>
      </c>
      <c r="D17" s="40">
        <v>0.05</v>
      </c>
    </row>
    <row r="18" spans="1:4">
      <c r="A18" s="38" t="str">
        <f t="shared" si="0"/>
        <v>Agressivo-FOFs</v>
      </c>
      <c r="B18" s="38" t="s">
        <v>34</v>
      </c>
      <c r="C18" s="39" t="s">
        <v>26</v>
      </c>
      <c r="D18" s="40">
        <v>0.05</v>
      </c>
    </row>
    <row r="19" spans="1:4">
      <c r="A19" s="38" t="str">
        <f t="shared" si="0"/>
        <v>Agressivo-DESENVOLVIMENTO</v>
      </c>
      <c r="B19" s="38" t="s">
        <v>34</v>
      </c>
      <c r="C19" s="39" t="s">
        <v>27</v>
      </c>
      <c r="D19" s="40">
        <v>0.2</v>
      </c>
    </row>
    <row r="20" spans="1:4">
      <c r="A20" s="38" t="str">
        <f t="shared" si="0"/>
        <v>Agressivo-HOTELARIAS</v>
      </c>
      <c r="B20" s="38" t="s">
        <v>34</v>
      </c>
      <c r="C20" s="39" t="s">
        <v>28</v>
      </c>
      <c r="D20" s="4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DIAS DA SILVA</cp:lastModifiedBy>
  <cp:revision/>
  <dcterms:created xsi:type="dcterms:W3CDTF">2026-02-07T16:07:00Z</dcterms:created>
  <dcterms:modified xsi:type="dcterms:W3CDTF">2026-02-08T16:30:14Z</dcterms:modified>
  <cp:category/>
  <cp:contentStatus/>
</cp:coreProperties>
</file>